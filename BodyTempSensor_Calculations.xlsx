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anheetkamp/Desktop/BodyTempSensor/"/>
    </mc:Choice>
  </mc:AlternateContent>
  <xr:revisionPtr revIDLastSave="0" documentId="13_ncr:1_{1EA421BB-3A52-904B-85A5-F8DC7A305473}" xr6:coauthVersionLast="47" xr6:coauthVersionMax="47" xr10:uidLastSave="{00000000-0000-0000-0000-000000000000}"/>
  <bookViews>
    <workbookView xWindow="0" yWindow="660" windowWidth="30240" windowHeight="17820" xr2:uid="{40AEC5D9-C44A-0B49-91FD-EA69EB214C5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9" i="1" l="1"/>
  <c r="K2" i="1"/>
  <c r="K3" i="1" s="1"/>
  <c r="L2" i="1"/>
  <c r="L3" i="1" s="1"/>
  <c r="J2" i="1"/>
  <c r="J3" i="1" s="1"/>
  <c r="C10" i="1"/>
  <c r="D10" i="1"/>
  <c r="B10" i="1"/>
</calcChain>
</file>

<file path=xl/sharedStrings.xml><?xml version="1.0" encoding="utf-8"?>
<sst xmlns="http://schemas.openxmlformats.org/spreadsheetml/2006/main" count="26" uniqueCount="19">
  <si>
    <t>USB-C</t>
  </si>
  <si>
    <t>MCP73833</t>
  </si>
  <si>
    <t>TLV62568DBVR</t>
  </si>
  <si>
    <t>NRF52840-QIAA-F-R7</t>
  </si>
  <si>
    <t>Name:</t>
  </si>
  <si>
    <t>Typ:</t>
  </si>
  <si>
    <t>Max:</t>
  </si>
  <si>
    <t>Standby:</t>
  </si>
  <si>
    <t>MCP6001-OT</t>
  </si>
  <si>
    <t>WS2812C-2020-V1</t>
  </si>
  <si>
    <t>MAX30208CLB+T</t>
  </si>
  <si>
    <t>Battery: 3.7V 500mAh</t>
  </si>
  <si>
    <t>Total:</t>
  </si>
  <si>
    <t>Battery capacity:</t>
  </si>
  <si>
    <t>Hours:</t>
  </si>
  <si>
    <t>Days:</t>
  </si>
  <si>
    <t>Active: 8.23 mA × 1h = 8.23 mAh</t>
  </si>
  <si>
    <t>Standby: 0.159 mA × 23h = 3.66 mAh</t>
  </si>
  <si>
    <t>Total per day: ~12 mAh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</si>
</sst>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E080E-A5D5-DB4A-A02C-D924411D9F97}">
  <dimension ref="A1:L25"/>
  <sheetViews>
    <sheetView tabSelected="1" workbookViewId="0">
      <selection activeCell="A9" sqref="A9:D10"/>
    </sheetView>
  </sheetViews>
  <sheetFormatPr baseColWidth="10" defaultRowHeight="16" x14ac:dyDescent="0.2"/>
  <cols>
    <col min="1" max="1" width="18.83203125" bestFit="1" customWidth="1"/>
    <col min="7" max="7" width="15" bestFit="1" customWidth="1"/>
  </cols>
  <sheetData>
    <row r="1" spans="1:12" x14ac:dyDescent="0.2">
      <c r="A1" t="s">
        <v>4</v>
      </c>
      <c r="B1" t="s">
        <v>5</v>
      </c>
      <c r="C1" t="s">
        <v>6</v>
      </c>
      <c r="D1" t="s">
        <v>7</v>
      </c>
      <c r="G1" t="s">
        <v>13</v>
      </c>
      <c r="H1" s="1">
        <v>0.5</v>
      </c>
      <c r="J1" t="s">
        <v>5</v>
      </c>
      <c r="K1" t="s">
        <v>6</v>
      </c>
      <c r="L1" t="s">
        <v>7</v>
      </c>
    </row>
    <row r="2" spans="1:12" x14ac:dyDescent="0.2">
      <c r="A2" t="s">
        <v>0</v>
      </c>
      <c r="B2" s="1">
        <v>0</v>
      </c>
      <c r="C2" s="1"/>
      <c r="D2" s="1"/>
      <c r="E2" s="1"/>
      <c r="I2" t="s">
        <v>14</v>
      </c>
      <c r="J2" s="2">
        <f>$H$1/B10</f>
        <v>60.788425883711739</v>
      </c>
      <c r="K2" s="2">
        <f t="shared" ref="K2:L2" si="0">$H$1/C10</f>
        <v>32.630685897017557</v>
      </c>
      <c r="L2" s="2">
        <f t="shared" si="0"/>
        <v>3149.6062992125981</v>
      </c>
    </row>
    <row r="3" spans="1:12" x14ac:dyDescent="0.2">
      <c r="A3" t="s">
        <v>1</v>
      </c>
      <c r="B3" s="1">
        <v>2.4999999999999999E-7</v>
      </c>
      <c r="C3" s="1">
        <v>1.9999999999999999E-6</v>
      </c>
      <c r="D3" s="1">
        <v>2.4999999999999999E-7</v>
      </c>
      <c r="E3" s="1"/>
      <c r="I3" t="s">
        <v>15</v>
      </c>
      <c r="J3">
        <f>J2/24</f>
        <v>2.532851078487989</v>
      </c>
      <c r="K3">
        <f t="shared" ref="K3:L3" si="1">K2/24</f>
        <v>1.3596119123757315</v>
      </c>
      <c r="L3">
        <f t="shared" si="1"/>
        <v>131.23359580052491</v>
      </c>
    </row>
    <row r="4" spans="1:12" x14ac:dyDescent="0.2">
      <c r="A4" t="s">
        <v>2</v>
      </c>
      <c r="B4" s="1">
        <v>3.4999999999999997E-5</v>
      </c>
      <c r="C4" s="1">
        <v>3.4999999999999997E-5</v>
      </c>
      <c r="D4" s="1">
        <v>3.4999999999999997E-5</v>
      </c>
      <c r="E4" s="1"/>
    </row>
    <row r="5" spans="1:12" x14ac:dyDescent="0.2">
      <c r="A5" t="s">
        <v>3</v>
      </c>
      <c r="B5" s="1">
        <v>1.2999999999999999E-5</v>
      </c>
      <c r="C5" s="1">
        <v>2.5999999999999998E-5</v>
      </c>
      <c r="D5" s="1">
        <v>3.0000000000000001E-6</v>
      </c>
      <c r="E5" s="1"/>
    </row>
    <row r="6" spans="1:12" x14ac:dyDescent="0.2">
      <c r="A6" t="s">
        <v>8</v>
      </c>
      <c r="B6" s="1">
        <v>1.1E-4</v>
      </c>
      <c r="C6" s="1">
        <v>1.6000000000000001E-4</v>
      </c>
      <c r="D6" s="1">
        <v>1.1E-4</v>
      </c>
      <c r="E6" s="1"/>
      <c r="I6" s="3" t="s">
        <v>16</v>
      </c>
      <c r="J6" s="3"/>
    </row>
    <row r="7" spans="1:12" x14ac:dyDescent="0.2">
      <c r="A7" t="s">
        <v>9</v>
      </c>
      <c r="B7" s="1">
        <v>8.0000000000000002E-3</v>
      </c>
      <c r="C7" s="1">
        <v>1.4999999999999999E-2</v>
      </c>
      <c r="D7" s="1">
        <v>1.0000000000000001E-5</v>
      </c>
      <c r="E7" s="1"/>
      <c r="I7" s="3" t="s">
        <v>17</v>
      </c>
      <c r="J7" s="3"/>
    </row>
    <row r="8" spans="1:12" x14ac:dyDescent="0.2">
      <c r="A8" t="s">
        <v>10</v>
      </c>
      <c r="B8" s="1">
        <v>6.7000000000000002E-5</v>
      </c>
      <c r="C8" s="1">
        <v>1E-4</v>
      </c>
      <c r="D8" s="1">
        <v>4.9999999999999998E-7</v>
      </c>
      <c r="E8" s="1"/>
      <c r="I8" s="3" t="s">
        <v>18</v>
      </c>
      <c r="J8" s="3"/>
    </row>
    <row r="9" spans="1:12" x14ac:dyDescent="0.2">
      <c r="B9" t="s">
        <v>5</v>
      </c>
      <c r="C9" t="s">
        <v>6</v>
      </c>
      <c r="D9" t="s">
        <v>7</v>
      </c>
      <c r="E9" s="1"/>
      <c r="I9" t="s">
        <v>15</v>
      </c>
      <c r="J9" s="2">
        <f>$H$1/0.012</f>
        <v>41.666666666666664</v>
      </c>
    </row>
    <row r="10" spans="1:12" x14ac:dyDescent="0.2">
      <c r="A10" t="s">
        <v>12</v>
      </c>
      <c r="B10" s="1">
        <f>SUM(B2:B9)</f>
        <v>8.2252499999999999E-3</v>
      </c>
      <c r="C10" s="1">
        <f t="shared" ref="C10:D10" si="2">SUM(C2:C9)</f>
        <v>1.5322999999999998E-2</v>
      </c>
      <c r="D10" s="1">
        <f t="shared" si="2"/>
        <v>1.5875000000000001E-4</v>
      </c>
      <c r="E10" s="1"/>
    </row>
    <row r="11" spans="1:12" x14ac:dyDescent="0.2">
      <c r="B11" s="1"/>
      <c r="C11" s="1"/>
      <c r="D11" s="1"/>
      <c r="E11" s="1"/>
    </row>
    <row r="12" spans="1:12" x14ac:dyDescent="0.2">
      <c r="B12" s="1"/>
      <c r="C12" s="1"/>
      <c r="D12" s="1"/>
      <c r="E12" s="1"/>
    </row>
    <row r="13" spans="1:12" x14ac:dyDescent="0.2">
      <c r="A13" t="s">
        <v>11</v>
      </c>
      <c r="B13" s="1"/>
      <c r="C13" s="1"/>
      <c r="D13" s="1"/>
      <c r="E13" s="1"/>
    </row>
    <row r="14" spans="1:12" x14ac:dyDescent="0.2">
      <c r="B14" s="1"/>
      <c r="C14" s="1"/>
      <c r="D14" s="1"/>
      <c r="E14" s="1"/>
    </row>
    <row r="15" spans="1:12" x14ac:dyDescent="0.2">
      <c r="B15" s="1"/>
      <c r="C15" s="1"/>
      <c r="D15" s="1"/>
      <c r="E15" s="1"/>
    </row>
    <row r="16" spans="1:12" x14ac:dyDescent="0.2">
      <c r="B16" s="1"/>
      <c r="C16" s="1"/>
      <c r="D16" s="1"/>
      <c r="E16" s="1"/>
    </row>
    <row r="17" spans="2:5" x14ac:dyDescent="0.2">
      <c r="B17" s="1"/>
      <c r="C17" s="1"/>
      <c r="D17" s="1"/>
      <c r="E17" s="1"/>
    </row>
    <row r="18" spans="2:5" x14ac:dyDescent="0.2">
      <c r="B18" s="1"/>
      <c r="C18" s="1"/>
      <c r="D18" s="1"/>
      <c r="E18" s="1"/>
    </row>
    <row r="19" spans="2:5" x14ac:dyDescent="0.2">
      <c r="B19" s="1"/>
      <c r="C19" s="1"/>
      <c r="D19" s="1"/>
      <c r="E19" s="1"/>
    </row>
    <row r="20" spans="2:5" x14ac:dyDescent="0.2">
      <c r="B20" s="1"/>
      <c r="C20" s="1"/>
      <c r="D20" s="1"/>
      <c r="E20" s="1"/>
    </row>
    <row r="21" spans="2:5" x14ac:dyDescent="0.2">
      <c r="B21" s="1"/>
      <c r="C21" s="1"/>
      <c r="D21" s="1"/>
      <c r="E21" s="1"/>
    </row>
    <row r="22" spans="2:5" x14ac:dyDescent="0.2">
      <c r="B22" s="1"/>
      <c r="C22" s="1"/>
      <c r="D22" s="1"/>
      <c r="E22" s="1"/>
    </row>
    <row r="23" spans="2:5" x14ac:dyDescent="0.2">
      <c r="B23" s="1"/>
      <c r="C23" s="1"/>
      <c r="D23" s="1"/>
      <c r="E23" s="1"/>
    </row>
    <row r="24" spans="2:5" x14ac:dyDescent="0.2">
      <c r="B24" s="1"/>
      <c r="C24" s="1"/>
      <c r="D24" s="1"/>
      <c r="E24" s="1"/>
    </row>
    <row r="25" spans="2:5" x14ac:dyDescent="0.2">
      <c r="B25" s="1"/>
      <c r="C25" s="1"/>
      <c r="D25" s="1"/>
      <c r="E25" s="1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Daan Heetkamp | Eemland Schoentechniek</dc:creator>
  <cp:lastModifiedBy>Daan Heetkamp | Eemland Schoentechniek</cp:lastModifiedBy>
  <dcterms:created xsi:type="dcterms:W3CDTF">2026-05-18T17:31:15Z</dcterms:created>
  <dcterms:modified xsi:type="dcterms:W3CDTF">2026-05-19T09:16:50Z</dcterms:modified>
</cp:coreProperties>
</file>